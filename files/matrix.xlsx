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טריצה" sheetId="1" state="visible" r:id="rId1"/>
    <sheet xmlns:r="http://schemas.openxmlformats.org/officeDocument/2006/relationships" name="משפ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7D5B"/>
      <sz val="16"/>
    </font>
    <font>
      <name val="Arial"/>
      <color rgb="007A7A7A"/>
      <sz val="10"/>
    </font>
    <font>
      <name val="Arial"/>
      <b val="1"/>
      <sz val="11"/>
    </font>
    <font>
      <name val="Arial"/>
      <b val="1"/>
      <color rgb="002F7D5B"/>
      <sz val="14"/>
    </font>
    <font>
      <name val="Arial"/>
      <b val="1"/>
      <color rgb="00FFFFFF"/>
      <sz val="11"/>
    </font>
    <font>
      <name val="Arial"/>
      <i val="1"/>
      <color rgb="007A7A7A"/>
      <sz val="10"/>
    </font>
    <font>
      <name val="Arial"/>
      <sz val="11"/>
    </font>
    <font>
      <name val="Arial"/>
      <color rgb="007A7A7A"/>
      <sz val="11"/>
    </font>
    <font>
      <name val="Arial"/>
      <b val="1"/>
      <color rgb="002F7D5B"/>
      <sz val="11"/>
    </font>
  </fonts>
  <fills count="6">
    <fill>
      <patternFill/>
    </fill>
    <fill>
      <patternFill patternType="gray125"/>
    </fill>
    <fill>
      <patternFill patternType="solid">
        <fgColor rgb="00E3F1EA"/>
      </patternFill>
    </fill>
    <fill>
      <patternFill patternType="solid">
        <fgColor rgb="002F7D5B"/>
      </patternFill>
    </fill>
    <fill>
      <patternFill patternType="solid">
        <fgColor rgb="00F0EFE8"/>
      </patternFill>
    </fill>
    <fill>
      <patternFill patternType="solid">
        <fgColor rgb="00E8F1FA"/>
      </patternFill>
    </fill>
  </fills>
  <borders count="2">
    <border>
      <left/>
      <right/>
      <top/>
      <bottom/>
      <diagonal/>
    </border>
    <border>
      <left style="thin">
        <color rgb="00DEDBD0"/>
      </left>
      <right style="thin">
        <color rgb="00DEDBD0"/>
      </right>
      <top style="thin">
        <color rgb="00DEDBD0"/>
      </top>
      <bottom style="thin">
        <color rgb="00DEDB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top" wrapText="1"/>
    </xf>
    <xf numFmtId="0" fontId="2" fillId="0" borderId="0" pivotButton="0" quotePrefix="0" xfId="0"/>
    <xf numFmtId="0" fontId="7" fillId="0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right" vertical="top" wrapText="1"/>
    </xf>
    <xf numFmtId="0" fontId="8" fillId="5" borderId="1" applyAlignment="1" pivotButton="0" quotePrefix="0" xfId="0">
      <alignment horizontal="right" vertical="top" wrapText="1"/>
    </xf>
    <xf numFmtId="0" fontId="9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rightToLeft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1" customWidth="1" min="4" max="4"/>
    <col width="18" customWidth="1" min="5" max="5"/>
    <col width="32" customWidth="1" min="6" max="6"/>
    <col width="34" customWidth="1" min="7" max="7"/>
    <col width="30" customWidth="1" min="8" max="8"/>
    <col width="12" customWidth="1" min="9" max="9"/>
    <col width="24" customWidth="1" min="10" max="10"/>
    <col width="16" customWidth="1" min="11" max="11"/>
  </cols>
  <sheetData>
    <row r="1">
      <c r="A1" s="1" t="inlineStr">
        <is>
          <t>מטריצת מקורות</t>
        </is>
      </c>
    </row>
    <row r="2" ht="30" customHeight="1">
      <c r="A2" s="2" t="inlineStr">
        <is>
          <t>שורה לכל מאמר. 🤖 = הבינה יכולה לנסח טיוטה מתוך המאמר, ואתם מאמתים כל תא. ✍ = רק אתם. קודם כותבים את תתי-הנושאים בגיליון "משפך", ואז הם מופיעים ברשימה. לסידור הפסקאות: בוחרים את השורות מ-7 ומטה, ואז "נתונים" &gt; "מיון טווח" לפי תת-נושא.</t>
        </is>
      </c>
    </row>
    <row r="3">
      <c r="B3" s="3" t="inlineStr">
        <is>
          <t>מקורות עד עכשיו</t>
        </is>
      </c>
      <c r="C3" s="4">
        <f>COUNTA(B7:B300)</f>
        <v/>
      </c>
      <c r="D3" s="3" t="inlineStr">
        <is>
          <t>מאמרים מחקריים מחמש השנים האחרונות</t>
        </is>
      </c>
      <c r="G3" s="4">
        <f>COUNTIFS(D7:D300,"מחקרי",C7:C300,"&gt;="&amp;(YEAR(TODAY())-5))</f>
        <v/>
      </c>
      <c r="H3" s="3" t="inlineStr">
        <is>
          <t>אומתו מול המאמר</t>
        </is>
      </c>
      <c r="I3" s="4">
        <f>COUNTIF(I7:I300,"כן")</f>
        <v/>
      </c>
    </row>
    <row r="4">
      <c r="B4" s="2" t="inlineStr">
        <is>
          <t>בביולוגיה: לפחות 20 מקורות בכל העבודה (מכל הפרקים), ולפחות 10 מאמרים מחקריים מחמש השנים האחרונות. בשאר המקצועות: לפי ההנחיות במדריך.</t>
        </is>
      </c>
    </row>
    <row r="5" ht="34" customHeight="1">
      <c r="A5" s="5" t="inlineStr">
        <is>
          <t>#</t>
        </is>
      </c>
      <c r="B5" s="5" t="inlineStr">
        <is>
          <t>הפניה (APA) 🤖</t>
        </is>
      </c>
      <c r="C5" s="5" t="inlineStr">
        <is>
          <t>שנה 🤖</t>
        </is>
      </c>
      <c r="D5" s="5" t="inlineStr">
        <is>
          <t>סוג 🤖</t>
        </is>
      </c>
      <c r="E5" s="5" t="inlineStr">
        <is>
          <t>תת-נושא במשפך ✍</t>
        </is>
      </c>
      <c r="F5" s="5" t="inlineStr">
        <is>
          <t>מה בדקו: שאלה, אורגניזם, שיטה 🤖</t>
        </is>
      </c>
      <c r="G5" s="5" t="inlineStr">
        <is>
          <t>מה מצאו, במילים שלי ועם מספר ✍</t>
        </is>
      </c>
      <c r="H5" s="5" t="inlineStr">
        <is>
          <t>הקשר למחקר שלי ✍</t>
        </is>
      </c>
      <c r="I5" s="5" t="inlineStr">
        <is>
          <t>אימתתי מול המאמר ✍</t>
        </is>
      </c>
      <c r="J5" s="5" t="inlineStr">
        <is>
          <t>מה תיקנתי אחרי הבדיקה ✍</t>
        </is>
      </c>
      <c r="K5" s="5" t="inlineStr">
        <is>
          <t>איך הגעתי</t>
        </is>
      </c>
    </row>
    <row r="6" ht="48" customHeight="1">
      <c r="A6" s="6" t="inlineStr">
        <is>
          <t>דוגמה</t>
        </is>
      </c>
      <c r="B6" s="6" t="inlineStr">
        <is>
          <t>לוין, א., ושות׳ (2021). [מאמר בדיוני לדוגמה]. כתב עת, 12(3), 45–56.</t>
        </is>
      </c>
      <c r="C6" s="6" t="n">
        <v>2021</v>
      </c>
      <c r="D6" s="6" t="inlineStr">
        <is>
          <t>מחקרי</t>
        </is>
      </c>
      <c r="E6" s="6" t="inlineStr">
        <is>
          <t>השפעת צבע האור</t>
        </is>
      </c>
      <c r="F6" s="6" t="inlineStr">
        <is>
          <t>כלורלה בתרביות מעבדה, 14 יום, אור כחול (450nm) מול אדום (660nm)</t>
        </is>
      </c>
      <c r="G6" s="6" t="inlineStr">
        <is>
          <t>באור אדום הביומסה הייתה גבוהה ב-30% מבאור כחול</t>
        </is>
      </c>
      <c r="H6" s="6" t="inlineStr">
        <is>
          <t>במחקר שלי: אדום מול כחול בחממה, באור טבעי. כאן זה נבדק רק במעבדה</t>
        </is>
      </c>
      <c r="I6" s="6" t="inlineStr">
        <is>
          <t>כן</t>
        </is>
      </c>
      <c r="J6" s="6" t="inlineStr">
        <is>
          <t>הבינה כתבה 40%. באיור 3 כתוב 30%</t>
        </is>
      </c>
      <c r="K6" s="6" t="inlineStr">
        <is>
          <t>Google Scholar</t>
        </is>
      </c>
    </row>
    <row r="7">
      <c r="A7" s="7" t="n">
        <v>1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n">
        <v>2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7" t="n">
        <v>3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n">
        <v>4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7" t="n">
        <v>5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n">
        <v>6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7" t="n">
        <v>7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n">
        <v>8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7" t="n">
        <v>9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n">
        <v>10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7" t="n">
        <v>11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n">
        <v>12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7" t="n">
        <v>13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n">
        <v>14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7" t="n">
        <v>15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7" t="n">
        <v>16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7" t="n">
        <v>17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7" t="n">
        <v>18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7" t="n">
        <v>19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7" t="n">
        <v>20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7" t="n">
        <v>21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7" t="n">
        <v>22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7" t="n">
        <v>23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7" t="n">
        <v>24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7" t="n">
        <v>25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7" t="n">
        <v>26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7" t="n">
        <v>27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7" t="n">
        <v>28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7" t="n">
        <v>29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7" t="n">
        <v>30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7" t="n">
        <v>31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7" t="n">
        <v>32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7" t="n">
        <v>33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7" t="n">
        <v>34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7" t="n">
        <v>35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7" t="n">
        <v>36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7" t="n">
        <v>37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7" t="n">
        <v>38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7" t="n">
        <v>39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7" t="n">
        <v>40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7" t="n">
        <v>41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7" t="n">
        <v>42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7" t="n">
        <v>43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7" t="n">
        <v>44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7" t="n">
        <v>45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7" t="n">
        <v>46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7" t="n">
        <v>47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7" t="n">
        <v>48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7" t="n">
        <v>49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7" t="n">
        <v>50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7" t="n">
        <v>51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7" t="n">
        <v>52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7" t="n">
        <v>53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7" t="n">
        <v>54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7" t="n">
        <v>55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7" t="n">
        <v>56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7" t="n">
        <v>57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7" t="n">
        <v>58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7" t="n">
        <v>59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7" t="n">
        <v>60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7" t="n">
        <v>61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7" t="n">
        <v>62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7" t="n">
        <v>63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7" t="n">
        <v>64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7" t="n">
        <v>65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7" t="n">
        <v>66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7" t="n">
        <v>67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7" t="n">
        <v>68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7" t="n">
        <v>69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7" t="n">
        <v>70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7" t="n">
        <v>71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7" t="n">
        <v>72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7" t="n">
        <v>73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7" t="n">
        <v>74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7" t="n">
        <v>75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7" t="n">
        <v>76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7" t="n">
        <v>77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7" t="n">
        <v>78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7" t="n">
        <v>79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7" t="n">
        <v>80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7" t="n">
        <v>81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7" t="n">
        <v>82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7" t="n">
        <v>83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7" t="n">
        <v>84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7" t="n">
        <v>85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7" t="n">
        <v>86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7" t="n">
        <v>87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7" t="n">
        <v>88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7" t="n">
        <v>89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7" t="n">
        <v>90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7" t="n">
        <v>91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7" t="n">
        <v>92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7" t="n">
        <v>93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7" t="n">
        <v>94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7" t="n">
        <v>95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7" t="n">
        <v>96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7" t="n">
        <v>97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7" t="n">
        <v>98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7" t="n">
        <v>99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7" t="n">
        <v>100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7" t="n">
        <v>101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7" t="n">
        <v>102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7" t="n">
        <v>103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7" t="n">
        <v>104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7" t="n">
        <v>105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7" t="n">
        <v>106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7" t="n">
        <v>107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7" t="n">
        <v>108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7" t="n">
        <v>109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7" t="n">
        <v>110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7" t="n">
        <v>111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7" t="n">
        <v>112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7" t="n">
        <v>113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7" t="n">
        <v>114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7" t="n">
        <v>115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7" t="n">
        <v>116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7" t="n">
        <v>117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7" t="n">
        <v>118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7" t="n">
        <v>119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7" t="n">
        <v>120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7" t="n">
        <v>121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7" t="n">
        <v>122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7" t="n">
        <v>123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7" t="n">
        <v>124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7" t="n">
        <v>125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7" t="n">
        <v>126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7" t="n">
        <v>127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7" t="n">
        <v>128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7" t="n">
        <v>129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7" t="n">
        <v>130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7" t="n">
        <v>131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7" t="n">
        <v>132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7" t="n">
        <v>133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7" t="n">
        <v>134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7" t="n">
        <v>135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7" t="n">
        <v>136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7" t="n">
        <v>137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7" t="n">
        <v>138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7" t="n">
        <v>139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7" t="n">
        <v>140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7" t="n">
        <v>141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7" t="n">
        <v>142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7" t="n">
        <v>143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7" t="n">
        <v>144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7" t="n">
        <v>145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7" t="n">
        <v>146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7" t="n">
        <v>147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7" t="n">
        <v>148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7" t="n">
        <v>149</v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7" t="n">
        <v>150</v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7" t="n">
        <v>151</v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7" t="n">
        <v>152</v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7" t="n">
        <v>153</v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7" t="n">
        <v>154</v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7" t="n">
        <v>155</v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7" t="n">
        <v>156</v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7" t="n">
        <v>157</v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7" t="n">
        <v>158</v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7" t="n">
        <v>159</v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7" t="n">
        <v>160</v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7" t="n">
        <v>161</v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7" t="n">
        <v>162</v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7" t="n">
        <v>163</v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7" t="n">
        <v>164</v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7" t="n">
        <v>165</v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7" t="n">
        <v>166</v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7" t="n">
        <v>167</v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7" t="n">
        <v>168</v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7" t="n">
        <v>169</v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7" t="n">
        <v>170</v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7" t="n">
        <v>171</v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7" t="n">
        <v>172</v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7" t="n">
        <v>173</v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7" t="n">
        <v>174</v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7" t="n">
        <v>175</v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7" t="n">
        <v>176</v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7" t="n">
        <v>177</v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7" t="n">
        <v>178</v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7" t="n">
        <v>179</v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7" t="n">
        <v>180</v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7" t="n">
        <v>181</v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7" t="n">
        <v>182</v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7" t="n">
        <v>183</v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7" t="n">
        <v>184</v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7" t="n">
        <v>185</v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7" t="n">
        <v>186</v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7" t="n">
        <v>187</v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7" t="n">
        <v>188</v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7" t="n">
        <v>189</v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7" t="n">
        <v>190</v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7" t="n">
        <v>191</v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7" t="n">
        <v>192</v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7" t="n">
        <v>193</v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7" t="n">
        <v>194</v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7" t="n">
        <v>195</v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7" t="n">
        <v>196</v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7" t="n">
        <v>197</v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7" t="n">
        <v>198</v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7" t="n">
        <v>199</v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7" t="n">
        <v>200</v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7" t="n">
        <v>201</v>
      </c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7" t="n">
        <v>202</v>
      </c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7" t="n">
        <v>203</v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7" t="n">
        <v>204</v>
      </c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7" t="n">
        <v>205</v>
      </c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7" t="n">
        <v>206</v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7" t="n">
        <v>207</v>
      </c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7" t="n">
        <v>208</v>
      </c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7" t="n">
        <v>209</v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7" t="n">
        <v>210</v>
      </c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7" t="n">
        <v>211</v>
      </c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7" t="n">
        <v>212</v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7" t="n">
        <v>213</v>
      </c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7" t="n">
        <v>214</v>
      </c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7" t="n">
        <v>215</v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7" t="n">
        <v>216</v>
      </c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7" t="n">
        <v>217</v>
      </c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7" t="n">
        <v>218</v>
      </c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7" t="n">
        <v>219</v>
      </c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7" t="n">
        <v>220</v>
      </c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7" t="n">
        <v>221</v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7" t="n">
        <v>222</v>
      </c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7" t="n">
        <v>223</v>
      </c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7" t="n">
        <v>224</v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7" t="n">
        <v>225</v>
      </c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7" t="n">
        <v>226</v>
      </c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7" t="n">
        <v>227</v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7" t="n">
        <v>228</v>
      </c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7" t="n">
        <v>229</v>
      </c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7" t="n">
        <v>230</v>
      </c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7" t="n">
        <v>231</v>
      </c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7" t="n">
        <v>232</v>
      </c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7" t="n">
        <v>233</v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7" t="n">
        <v>234</v>
      </c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7" t="n">
        <v>235</v>
      </c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7" t="n">
        <v>236</v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7" t="n">
        <v>237</v>
      </c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7" t="n">
        <v>238</v>
      </c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7" t="n">
        <v>239</v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7" t="n">
        <v>240</v>
      </c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7" t="n">
        <v>241</v>
      </c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7" t="n">
        <v>242</v>
      </c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7" t="n">
        <v>243</v>
      </c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7" t="n">
        <v>244</v>
      </c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7" t="n">
        <v>245</v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7" t="n">
        <v>246</v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7" t="n">
        <v>247</v>
      </c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7" t="n">
        <v>248</v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7" t="n">
        <v>249</v>
      </c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7" t="n">
        <v>250</v>
      </c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7" t="n">
        <v>251</v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7" t="n">
        <v>252</v>
      </c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7" t="n">
        <v>253</v>
      </c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7" t="n">
        <v>254</v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7" t="n">
        <v>255</v>
      </c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7" t="n">
        <v>256</v>
      </c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7" t="n">
        <v>257</v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7" t="n">
        <v>258</v>
      </c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7" t="n">
        <v>259</v>
      </c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7" t="n">
        <v>260</v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7" t="n">
        <v>261</v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7" t="n">
        <v>262</v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7" t="n">
        <v>263</v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7" t="n">
        <v>264</v>
      </c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7" t="n">
        <v>265</v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7" t="n">
        <v>266</v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7" t="n">
        <v>267</v>
      </c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7" t="n">
        <v>268</v>
      </c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7" t="n">
        <v>269</v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7" t="n">
        <v>270</v>
      </c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7" t="n">
        <v>271</v>
      </c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7" t="n">
        <v>272</v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7" t="n">
        <v>273</v>
      </c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7" t="n">
        <v>274</v>
      </c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7" t="n">
        <v>275</v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7" t="n">
        <v>276</v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7" t="n">
        <v>277</v>
      </c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7" t="n">
        <v>278</v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7" t="n">
        <v>279</v>
      </c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7" t="n">
        <v>280</v>
      </c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7" t="n">
        <v>281</v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7" t="n">
        <v>282</v>
      </c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7" t="n">
        <v>283</v>
      </c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7" t="n">
        <v>284</v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7" t="n">
        <v>285</v>
      </c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7" t="n">
        <v>286</v>
      </c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7" t="n">
        <v>287</v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7" t="n">
        <v>288</v>
      </c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7" t="n">
        <v>289</v>
      </c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7" t="n">
        <v>290</v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7" t="n">
        <v>291</v>
      </c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7" t="n">
        <v>292</v>
      </c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7" t="n">
        <v>293</v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7" t="n">
        <v>294</v>
      </c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</sheetData>
  <mergeCells count="4">
    <mergeCell ref="A2:K2"/>
    <mergeCell ref="B4:K4"/>
    <mergeCell ref="A1:K1"/>
    <mergeCell ref="D3:F3"/>
  </mergeCells>
  <dataValidations count="4">
    <dataValidation sqref="D7:D300" showDropDown="0" showInputMessage="0" showErrorMessage="0" allowBlank="1" error="בחרו מהרשימה" type="list">
      <formula1>"מחקרי,סקירה"</formula1>
    </dataValidation>
    <dataValidation sqref="E7:E300" showDropDown="0" showInputMessage="0" showErrorMessage="0" allowBlank="1" error="בחרו מהרשימה" type="list">
      <formula1>=משפך!$A$4:$A$10</formula1>
    </dataValidation>
    <dataValidation sqref="I7:I300" showDropDown="0" showInputMessage="0" showErrorMessage="0" allowBlank="1" error="בחרו מהרשימה" type="list">
      <formula1>"כן,עוד לא"</formula1>
    </dataValidation>
    <dataValidation sqref="K7:K300" showDropDown="0" showInputMessage="0" showErrorMessage="0" allowBlank="1" error="בחרו מהרשימה" type="list">
      <formula1>"Google Scholar,כלי בינה לחיפוש מאמרים,כדור שלג (מקורות של מאמר),Cited by,הצעת המחקר,המנחה,הספרייה המשותפת"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9" t="inlineStr">
        <is>
          <t>המשפך: תתי-הנושאים של הסקירה</t>
        </is>
      </c>
    </row>
    <row r="2" ht="42" customHeight="1">
      <c r="A2" s="2" t="inlineStr">
        <is>
          <t>מהכללי ביותר (למעלה) ועד הקרוב ביותר למחקר שלכם (למטה). 3–5 תתי-נושאים. כל תת-נושא הוא פסקה או כמה פסקאות בסקירה.</t>
        </is>
      </c>
    </row>
    <row r="3">
      <c r="A3" s="10" t="inlineStr">
        <is>
          <t>תת-נושא</t>
        </is>
      </c>
      <c r="B3" s="10" t="inlineStr">
        <is>
          <t>כמה מקורות</t>
        </is>
      </c>
    </row>
    <row r="4">
      <c r="A4" s="11" t="inlineStr">
        <is>
          <t>[הכללי ביותר: למשל, אצות כמקור לביומסה]</t>
        </is>
      </c>
      <c r="B4" s="12">
        <f>IF(A4="","",COUNTIF(מטריצה!E7:E300,A4))</f>
        <v/>
      </c>
    </row>
    <row r="5">
      <c r="A5" s="11" t="inlineStr">
        <is>
          <t>[...]</t>
        </is>
      </c>
      <c r="B5" s="12">
        <f>IF(A5="","",COUNTIF(מטריצה!E7:E300,A5))</f>
        <v/>
      </c>
    </row>
    <row r="6">
      <c r="A6" s="11" t="inlineStr">
        <is>
          <t>[...]</t>
        </is>
      </c>
      <c r="B6" s="12">
        <f>IF(A6="","",COUNTIF(מטריצה!E7:E300,A6))</f>
        <v/>
      </c>
    </row>
    <row r="7">
      <c r="A7" s="11" t="inlineStr">
        <is>
          <t>[...]</t>
        </is>
      </c>
      <c r="B7" s="12">
        <f>IF(A7="","",COUNTIF(מטריצה!E7:E300,A7))</f>
        <v/>
      </c>
    </row>
    <row r="8">
      <c r="A8" s="11" t="inlineStr">
        <is>
          <t>[הקרוב ביותר למחקר שלכם]</t>
        </is>
      </c>
      <c r="B8" s="12">
        <f>IF(A8="","",COUNTIF(מטריצה!E7:E300,A8))</f>
        <v/>
      </c>
    </row>
    <row r="9">
      <c r="A9" s="13" t="inlineStr"/>
      <c r="B9" s="12">
        <f>IF(A9="","",COUNTIF(מטריצה!E7:E300,A9))</f>
        <v/>
      </c>
    </row>
    <row r="10">
      <c r="A10" s="13" t="inlineStr"/>
      <c r="B10" s="12">
        <f>IF(A10="","",COUNTIF(מטריצה!E7:E300,A10))</f>
        <v/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2026-10-11T06:46:53Z</dcterms:created>
  <dcterms:modified xmlns:dcterms="http://purl.org/dc/terms/" xmlns:xsi="http://www.w3.org/2001/XMLSchema-instance" xsi:type="dcterms:W3CDTF">2026-10-11T06:46:53Z</dcterms:modified>
</cp:coreProperties>
</file>